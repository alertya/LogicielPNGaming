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ti\DocumentsPrincipal\PavillonNoirLogiciel - Copie\ComputeFunction\data\Voyage\"/>
    </mc:Choice>
  </mc:AlternateContent>
  <xr:revisionPtr revIDLastSave="0" documentId="13_ncr:1_{851D26A5-6072-40BA-87C3-835D60DC75D1}" xr6:coauthVersionLast="47" xr6:coauthVersionMax="47" xr10:uidLastSave="{00000000-0000-0000-0000-000000000000}"/>
  <bookViews>
    <workbookView xWindow="-108" yWindow="12852" windowWidth="23256" windowHeight="12456" xr2:uid="{D02604E1-9B87-4B2D-B732-314A98E8DB50}"/>
  </bookViews>
  <sheets>
    <sheet name="Feuil1" sheetId="1" r:id="rId1"/>
    <sheet name="DataBaseDeDon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2" i="1"/>
  <c r="L3" i="1"/>
  <c r="L4" i="1"/>
  <c r="L5" i="1"/>
  <c r="L6" i="1"/>
  <c r="L2" i="1"/>
</calcChain>
</file>

<file path=xl/sharedStrings.xml><?xml version="1.0" encoding="utf-8"?>
<sst xmlns="http://schemas.openxmlformats.org/spreadsheetml/2006/main" count="112" uniqueCount="90">
  <si>
    <t>NomDuNavire</t>
  </si>
  <si>
    <t>Region</t>
  </si>
  <si>
    <t>Distance</t>
  </si>
  <si>
    <t>ZoneMaritime</t>
  </si>
  <si>
    <t>ChanceRencontreAventurier</t>
  </si>
  <si>
    <t>Acadie, baie d'Hudson et terre-neuve</t>
  </si>
  <si>
    <t>Afrique du Sud-Ouest (Congo au ca de bonne-espérance)</t>
  </si>
  <si>
    <t>Afrique orientale (Mozambique à Kenya)</t>
  </si>
  <si>
    <t>Amérique du Sud (Côte Atlantique de la Guyane à l'Argentine):</t>
  </si>
  <si>
    <t>Arabie</t>
  </si>
  <si>
    <t>Argentine</t>
  </si>
  <si>
    <t>Bengale</t>
  </si>
  <si>
    <t>Brésil</t>
  </si>
  <si>
    <t>Cap comorin et Ceylan</t>
  </si>
  <si>
    <t>Chili</t>
  </si>
  <si>
    <t>Chine, Mer de Chine, Corée et Japon</t>
  </si>
  <si>
    <t>Côte de Coromandel</t>
  </si>
  <si>
    <t>Côte de Malabar</t>
  </si>
  <si>
    <t>Côte est d'amérique du nord</t>
  </si>
  <si>
    <t>Du guatemala au Panama</t>
  </si>
  <si>
    <t>Egypte</t>
  </si>
  <si>
    <t>Europe du nord</t>
  </si>
  <si>
    <t>Europe du sud</t>
  </si>
  <si>
    <t>Europe méditerranéenne</t>
  </si>
  <si>
    <t>Golfe de Guinée</t>
  </si>
  <si>
    <t>Grandes antilles</t>
  </si>
  <si>
    <t>Guatemala, Costa Rica Panama</t>
  </si>
  <si>
    <t>Indonésie et Philippines</t>
  </si>
  <si>
    <t>Madagascar</t>
  </si>
  <si>
    <t>Maghreb</t>
  </si>
  <si>
    <t>Méditérranée orientale</t>
  </si>
  <si>
    <t>Mer rouge et éthiopie</t>
  </si>
  <si>
    <t>Mexique</t>
  </si>
  <si>
    <t>Nord ouest de l'Afrique</t>
  </si>
  <si>
    <t>Nouvelle-Espagne</t>
  </si>
  <si>
    <t>Nouvelle-Grenade</t>
  </si>
  <si>
    <t>Nouvelle-Grenade et Venezuela</t>
  </si>
  <si>
    <t>Océan indien (Ile de France, Bourbon)</t>
  </si>
  <si>
    <t>Océan indien (Les mascareignes)</t>
  </si>
  <si>
    <t>Pérou</t>
  </si>
  <si>
    <t>Perse</t>
  </si>
  <si>
    <t>Petites antilles</t>
  </si>
  <si>
    <t>Siam et Tonkin</t>
  </si>
  <si>
    <t>Surate et péninsule de Gujarat</t>
  </si>
  <si>
    <t>Mer ou océan</t>
  </si>
  <si>
    <t>Sur une route commerciale</t>
  </si>
  <si>
    <t>À un mouillage forain</t>
  </si>
  <si>
    <t>À un comptoir</t>
  </si>
  <si>
    <t>Au port (petit)</t>
  </si>
  <si>
    <t>Au port (moyen)</t>
  </si>
  <si>
    <t>Au port (grand)</t>
  </si>
  <si>
    <t>Au port (très grand)</t>
  </si>
  <si>
    <t>Zone</t>
  </si>
  <si>
    <t>Au large d’une côte</t>
  </si>
  <si>
    <t>Près des côtes</t>
  </si>
  <si>
    <t>CompetenceVigie</t>
  </si>
  <si>
    <t>DeMarchand</t>
  </si>
  <si>
    <t>DeAventurier</t>
  </si>
  <si>
    <t>D3</t>
  </si>
  <si>
    <t>D5</t>
  </si>
  <si>
    <t>D20</t>
  </si>
  <si>
    <t>D100</t>
  </si>
  <si>
    <t>Test.csv</t>
  </si>
  <si>
    <t>AnneeHistorique</t>
  </si>
  <si>
    <t>Origine</t>
  </si>
  <si>
    <t>RegionMaritime</t>
  </si>
  <si>
    <t>Proche-Orient</t>
  </si>
  <si>
    <t>OcÃ©an Indien</t>
  </si>
  <si>
    <t>Empire Moghol</t>
  </si>
  <si>
    <t>Ceylan</t>
  </si>
  <si>
    <t>IndonÃ©sie</t>
  </si>
  <si>
    <t>Mer de Chine</t>
  </si>
  <si>
    <t>Pacifique</t>
  </si>
  <si>
    <t>Atlantique Nord</t>
  </si>
  <si>
    <t>Atlantique Sud</t>
  </si>
  <si>
    <t>Amérique du Nord (Nouvelle France/Canada)</t>
  </si>
  <si>
    <t>Amérique du Nord (Colonies de la Côte Est)</t>
  </si>
  <si>
    <t>Amérique Centrale et Caraïbes (Pacifique)</t>
  </si>
  <si>
    <t>Amérique Centrale et Caraïbes (Mer des Caraïbes)</t>
  </si>
  <si>
    <t>Méditerranée</t>
  </si>
  <si>
    <t>Afrique du Nord</t>
  </si>
  <si>
    <t>Amerique du sud (Côte Atlantique)</t>
  </si>
  <si>
    <t>Amerique du sud (Côte Pacifique)</t>
  </si>
  <si>
    <t>Afrique occidentale</t>
  </si>
  <si>
    <t>Afrique du sud</t>
  </si>
  <si>
    <t>Afrique Orientale</t>
  </si>
  <si>
    <t>EscaleRecrutement</t>
  </si>
  <si>
    <t>EscaleCommerce</t>
  </si>
  <si>
    <t>EscaleReparation</t>
  </si>
  <si>
    <t>TaillePortEscale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</si>
</sst>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A499-AC03-425F-BDDA-7EBC81060E00}">
  <dimension ref="A1:M6"/>
  <sheetViews>
    <sheetView tabSelected="1" workbookViewId="0">
      <selection activeCell="D2" sqref="D2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4</v>
      </c>
      <c r="G1" s="1" t="s">
        <v>55</v>
      </c>
      <c r="H1" s="2" t="s">
        <v>89</v>
      </c>
      <c r="I1" s="2" t="s">
        <v>86</v>
      </c>
      <c r="J1" s="2" t="s">
        <v>87</v>
      </c>
      <c r="K1" s="2" t="s">
        <v>88</v>
      </c>
      <c r="L1" t="s">
        <v>56</v>
      </c>
      <c r="M1" t="s">
        <v>57</v>
      </c>
    </row>
    <row r="2" spans="1:13" x14ac:dyDescent="0.25">
      <c r="A2" s="1" t="s">
        <v>62</v>
      </c>
      <c r="B2" s="1" t="s">
        <v>22</v>
      </c>
      <c r="C2" s="1">
        <v>1085</v>
      </c>
      <c r="D2" s="1" t="s">
        <v>54</v>
      </c>
      <c r="E2" s="1">
        <v>1715</v>
      </c>
      <c r="F2" s="1">
        <v>4</v>
      </c>
      <c r="G2" s="1">
        <v>2</v>
      </c>
      <c r="H2" s="2" t="s">
        <v>49</v>
      </c>
      <c r="I2" s="2">
        <v>1</v>
      </c>
      <c r="J2" s="2">
        <v>1</v>
      </c>
      <c r="K2" s="2">
        <v>1</v>
      </c>
      <c r="L2">
        <f>VLOOKUP(D2,DataBaseDeDonnes!$B$2:$B$11:'DataBaseDeDonnes'!$F$2:$F$11,4,FALSE)</f>
        <v>20</v>
      </c>
      <c r="M2">
        <f>VLOOKUP(D2,DataBaseDeDonnes!$B$2:$B$11:'DataBaseDeDonnes'!$F$2:$F$11,5,FALSE)</f>
        <v>40</v>
      </c>
    </row>
    <row r="3" spans="1:13" x14ac:dyDescent="0.25">
      <c r="A3" s="1" t="s">
        <v>62</v>
      </c>
      <c r="B3" s="1" t="s">
        <v>29</v>
      </c>
      <c r="C3" s="1">
        <v>635</v>
      </c>
      <c r="D3" s="1" t="s">
        <v>54</v>
      </c>
      <c r="E3" s="1">
        <v>1715</v>
      </c>
      <c r="F3" s="1">
        <v>4</v>
      </c>
      <c r="G3" s="1">
        <v>2</v>
      </c>
      <c r="H3" s="2" t="s">
        <v>49</v>
      </c>
      <c r="I3" s="2">
        <v>1</v>
      </c>
      <c r="J3" s="2">
        <v>1</v>
      </c>
      <c r="K3" s="2">
        <v>1</v>
      </c>
      <c r="L3">
        <f>VLOOKUP(D3,DataBaseDeDonnes!$B$2:$B$11:'DataBaseDeDonnes'!$F$2:$F$11,4,FALSE)</f>
        <v>20</v>
      </c>
      <c r="M3">
        <f>VLOOKUP(D3,DataBaseDeDonnes!$B$2:$B$11:'DataBaseDeDonnes'!$F$2:$F$11,5,FALSE)</f>
        <v>40</v>
      </c>
    </row>
    <row r="4" spans="1:13" x14ac:dyDescent="0.25">
      <c r="A4" s="1" t="s">
        <v>62</v>
      </c>
      <c r="B4" s="1" t="s">
        <v>22</v>
      </c>
      <c r="C4" s="1">
        <v>3350</v>
      </c>
      <c r="D4" s="1" t="s">
        <v>44</v>
      </c>
      <c r="E4" s="1">
        <v>1715</v>
      </c>
      <c r="F4" s="1">
        <v>4</v>
      </c>
      <c r="G4" s="1">
        <v>2</v>
      </c>
      <c r="H4" s="2" t="s">
        <v>49</v>
      </c>
      <c r="I4" s="2">
        <v>1</v>
      </c>
      <c r="J4" s="2">
        <v>1</v>
      </c>
      <c r="K4" s="2">
        <v>1</v>
      </c>
      <c r="L4">
        <f>VLOOKUP(D4,DataBaseDeDonnes!$B$2:$B$11:'DataBaseDeDonnes'!$F$2:$F$11,4,FALSE)</f>
        <v>140</v>
      </c>
      <c r="M4">
        <f>VLOOKUP(D4,DataBaseDeDonnes!$B$2:$B$11:'DataBaseDeDonnes'!$F$2:$F$11,5,FALSE)</f>
        <v>1000</v>
      </c>
    </row>
    <row r="5" spans="1:13" x14ac:dyDescent="0.25">
      <c r="A5" s="1" t="s">
        <v>62</v>
      </c>
      <c r="B5" t="s">
        <v>34</v>
      </c>
      <c r="C5" s="1">
        <v>280</v>
      </c>
      <c r="D5" s="1" t="s">
        <v>54</v>
      </c>
      <c r="E5" s="1">
        <v>1715</v>
      </c>
      <c r="F5" s="1">
        <v>4</v>
      </c>
      <c r="G5" s="1">
        <v>2</v>
      </c>
      <c r="H5" s="2" t="s">
        <v>49</v>
      </c>
      <c r="I5" s="2">
        <v>1</v>
      </c>
      <c r="J5" s="2">
        <v>1</v>
      </c>
      <c r="K5" s="2">
        <v>1</v>
      </c>
      <c r="L5">
        <f>VLOOKUP(D5,DataBaseDeDonnes!$B$2:$B$11:'DataBaseDeDonnes'!$F$2:$F$11,4,FALSE)</f>
        <v>20</v>
      </c>
      <c r="M5">
        <f>VLOOKUP(D5,DataBaseDeDonnes!$B$2:$B$11:'DataBaseDeDonnes'!$F$2:$F$11,5,FALSE)</f>
        <v>40</v>
      </c>
    </row>
    <row r="6" spans="1:13" x14ac:dyDescent="0.25">
      <c r="A6" s="1" t="s">
        <v>62</v>
      </c>
      <c r="B6" s="1" t="s">
        <v>25</v>
      </c>
      <c r="C6" s="1">
        <v>195</v>
      </c>
      <c r="D6" s="1" t="s">
        <v>54</v>
      </c>
      <c r="E6" s="1">
        <v>1715</v>
      </c>
      <c r="F6" s="1">
        <v>4</v>
      </c>
      <c r="G6" s="1">
        <v>2</v>
      </c>
      <c r="H6" s="2" t="s">
        <v>49</v>
      </c>
      <c r="I6" s="2">
        <v>1</v>
      </c>
      <c r="J6" s="2">
        <v>1</v>
      </c>
      <c r="K6" s="2">
        <v>1</v>
      </c>
      <c r="L6">
        <f>VLOOKUP(D6,DataBaseDeDonnes!$B$2:$B$11:'DataBaseDeDonnes'!$F$2:$F$11,4,FALSE)</f>
        <v>20</v>
      </c>
      <c r="M6">
        <f>VLOOKUP(D6,DataBaseDeDonnes!$B$2:$B$11:'DataBaseDeDonnes'!$F$2:$F$11,5,FALSE)</f>
        <v>40</v>
      </c>
    </row>
  </sheetData>
  <dataValidations count="1">
    <dataValidation type="whole" allowBlank="1" showInputMessage="1" showErrorMessage="1" sqref="K2:K18" xr:uid="{4E12B568-D27F-4CE5-BF6A-AE443BD65335}">
      <formula1>0</formula1>
      <formula2>1</formula2>
    </dataValidation>
  </dataValidation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5E7049-91B7-4A3D-9735-3942E7E8CA51}">
          <x14:formula1>
            <xm:f>DataBaseDeDonnes!$B$2:$B$11</xm:f>
          </x14:formula1>
          <xm:sqref>D2:D1048576 H2:H1048576</xm:sqref>
        </x14:dataValidation>
        <x14:dataValidation type="list" allowBlank="1" showInputMessage="1" showErrorMessage="1" xr:uid="{136F2798-0DFA-4335-AA03-C7FC8B641654}">
          <x14:formula1>
            <xm:f>DataBaseDeDonnes!$D$2:$D$40</xm:f>
          </x14:formula1>
          <xm:sqref>B2:B1048576</xm:sqref>
        </x14:dataValidation>
        <x14:dataValidation type="list" allowBlank="1" showInputMessage="1" showErrorMessage="1" xr:uid="{E3893F4F-CFF3-450C-A59D-BF9470DA1305}">
          <x14:formula1>
            <xm:f>DataBaseDeDonnes!$B$7:$B$11</xm:f>
          </x14:formula1>
          <xm:sqref>K19:K1048576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2CC6-8E59-40E5-BAD6-C07EA0F484E8}">
  <dimension ref="B1:G40"/>
  <sheetViews>
    <sheetView workbookViewId="0">
      <selection activeCell="C2" sqref="C2:C21"/>
    </sheetView>
  </sheetViews>
  <sheetFormatPr baseColWidth="10" defaultRowHeight="15" x14ac:dyDescent="0.25"/>
  <cols>
    <col min="2" max="3" width="48" customWidth="1"/>
    <col min="4" max="4" width="69" customWidth="1"/>
  </cols>
  <sheetData>
    <row r="1" spans="2:7" x14ac:dyDescent="0.25">
      <c r="B1" t="s">
        <v>52</v>
      </c>
      <c r="C1" t="s">
        <v>65</v>
      </c>
      <c r="D1" t="s">
        <v>1</v>
      </c>
      <c r="E1" t="s">
        <v>56</v>
      </c>
      <c r="F1" t="s">
        <v>57</v>
      </c>
      <c r="G1" t="s">
        <v>64</v>
      </c>
    </row>
    <row r="2" spans="2:7" x14ac:dyDescent="0.25">
      <c r="B2" t="s">
        <v>44</v>
      </c>
      <c r="C2" t="s">
        <v>66</v>
      </c>
      <c r="D2" t="s">
        <v>5</v>
      </c>
      <c r="E2">
        <v>140</v>
      </c>
      <c r="F2">
        <v>1000</v>
      </c>
    </row>
    <row r="3" spans="2:7" x14ac:dyDescent="0.25">
      <c r="B3" t="s">
        <v>53</v>
      </c>
      <c r="C3" t="s">
        <v>67</v>
      </c>
      <c r="D3" t="s">
        <v>6</v>
      </c>
      <c r="E3">
        <v>84</v>
      </c>
      <c r="F3">
        <v>100</v>
      </c>
    </row>
    <row r="4" spans="2:7" x14ac:dyDescent="0.25">
      <c r="B4" t="s">
        <v>45</v>
      </c>
      <c r="C4" t="s">
        <v>68</v>
      </c>
      <c r="D4" t="s">
        <v>7</v>
      </c>
      <c r="E4">
        <v>14</v>
      </c>
      <c r="F4">
        <v>20</v>
      </c>
    </row>
    <row r="5" spans="2:7" x14ac:dyDescent="0.25">
      <c r="B5" t="s">
        <v>54</v>
      </c>
      <c r="C5" t="s">
        <v>69</v>
      </c>
      <c r="D5" t="s">
        <v>8</v>
      </c>
      <c r="E5">
        <v>20</v>
      </c>
      <c r="F5">
        <v>40</v>
      </c>
    </row>
    <row r="6" spans="2:7" x14ac:dyDescent="0.25">
      <c r="B6" t="s">
        <v>46</v>
      </c>
      <c r="C6" t="s">
        <v>70</v>
      </c>
      <c r="D6" t="s">
        <v>9</v>
      </c>
      <c r="E6">
        <v>84</v>
      </c>
      <c r="F6">
        <v>20</v>
      </c>
    </row>
    <row r="7" spans="2:7" x14ac:dyDescent="0.25">
      <c r="B7" t="s">
        <v>47</v>
      </c>
      <c r="C7" t="s">
        <v>71</v>
      </c>
      <c r="D7" t="s">
        <v>10</v>
      </c>
      <c r="E7" t="s">
        <v>58</v>
      </c>
      <c r="F7">
        <v>100</v>
      </c>
    </row>
    <row r="8" spans="2:7" x14ac:dyDescent="0.25">
      <c r="B8" t="s">
        <v>48</v>
      </c>
      <c r="C8" t="s">
        <v>72</v>
      </c>
      <c r="D8" t="s">
        <v>11</v>
      </c>
      <c r="E8">
        <v>3</v>
      </c>
      <c r="F8">
        <v>100</v>
      </c>
    </row>
    <row r="9" spans="2:7" x14ac:dyDescent="0.25">
      <c r="B9" t="s">
        <v>49</v>
      </c>
      <c r="C9" t="s">
        <v>73</v>
      </c>
      <c r="D9" t="s">
        <v>12</v>
      </c>
      <c r="E9" t="s">
        <v>59</v>
      </c>
      <c r="F9">
        <v>100</v>
      </c>
    </row>
    <row r="10" spans="2:7" x14ac:dyDescent="0.25">
      <c r="B10" t="s">
        <v>50</v>
      </c>
      <c r="C10" t="s">
        <v>74</v>
      </c>
      <c r="D10" t="s">
        <v>13</v>
      </c>
      <c r="E10" t="s">
        <v>60</v>
      </c>
      <c r="F10">
        <v>100</v>
      </c>
    </row>
    <row r="11" spans="2:7" x14ac:dyDescent="0.25">
      <c r="B11" t="s">
        <v>51</v>
      </c>
      <c r="C11" t="s">
        <v>75</v>
      </c>
      <c r="D11" t="s">
        <v>14</v>
      </c>
      <c r="E11" t="s">
        <v>61</v>
      </c>
      <c r="F11">
        <v>100</v>
      </c>
    </row>
    <row r="12" spans="2:7" x14ac:dyDescent="0.25">
      <c r="C12" t="s">
        <v>76</v>
      </c>
      <c r="D12" t="s">
        <v>15</v>
      </c>
    </row>
    <row r="13" spans="2:7" x14ac:dyDescent="0.25">
      <c r="C13" t="s">
        <v>77</v>
      </c>
      <c r="D13" t="s">
        <v>16</v>
      </c>
    </row>
    <row r="14" spans="2:7" x14ac:dyDescent="0.25">
      <c r="C14" t="s">
        <v>78</v>
      </c>
      <c r="D14" t="s">
        <v>17</v>
      </c>
    </row>
    <row r="15" spans="2:7" x14ac:dyDescent="0.25">
      <c r="C15" t="s">
        <v>79</v>
      </c>
      <c r="D15" t="s">
        <v>18</v>
      </c>
    </row>
    <row r="16" spans="2:7" x14ac:dyDescent="0.25">
      <c r="C16" t="s">
        <v>80</v>
      </c>
      <c r="D16" t="s">
        <v>19</v>
      </c>
    </row>
    <row r="17" spans="3:4" x14ac:dyDescent="0.25">
      <c r="C17" t="s">
        <v>81</v>
      </c>
      <c r="D17" t="s">
        <v>20</v>
      </c>
    </row>
    <row r="18" spans="3:4" x14ac:dyDescent="0.25">
      <c r="C18" t="s">
        <v>82</v>
      </c>
      <c r="D18" t="s">
        <v>21</v>
      </c>
    </row>
    <row r="19" spans="3:4" x14ac:dyDescent="0.25">
      <c r="C19" t="s">
        <v>83</v>
      </c>
      <c r="D19" t="s">
        <v>22</v>
      </c>
    </row>
    <row r="20" spans="3:4" x14ac:dyDescent="0.25">
      <c r="C20" t="s">
        <v>84</v>
      </c>
      <c r="D20" t="s">
        <v>23</v>
      </c>
    </row>
    <row r="21" spans="3:4" x14ac:dyDescent="0.25">
      <c r="C21" t="s">
        <v>85</v>
      </c>
      <c r="D21" t="s">
        <v>24</v>
      </c>
    </row>
    <row r="22" spans="3:4" x14ac:dyDescent="0.25">
      <c r="D22" t="s">
        <v>25</v>
      </c>
    </row>
    <row r="23" spans="3:4" x14ac:dyDescent="0.25">
      <c r="D23" t="s">
        <v>26</v>
      </c>
    </row>
    <row r="24" spans="3:4" x14ac:dyDescent="0.25">
      <c r="D24" t="s">
        <v>27</v>
      </c>
    </row>
    <row r="25" spans="3:4" x14ac:dyDescent="0.25">
      <c r="D25" t="s">
        <v>28</v>
      </c>
    </row>
    <row r="26" spans="3:4" x14ac:dyDescent="0.25">
      <c r="D26" t="s">
        <v>29</v>
      </c>
    </row>
    <row r="27" spans="3:4" x14ac:dyDescent="0.25">
      <c r="D27" t="s">
        <v>30</v>
      </c>
    </row>
    <row r="28" spans="3:4" x14ac:dyDescent="0.25">
      <c r="D28" t="s">
        <v>31</v>
      </c>
    </row>
    <row r="29" spans="3:4" x14ac:dyDescent="0.25">
      <c r="D29" t="s">
        <v>32</v>
      </c>
    </row>
    <row r="30" spans="3:4" x14ac:dyDescent="0.25">
      <c r="D30" t="s">
        <v>33</v>
      </c>
    </row>
    <row r="31" spans="3:4" x14ac:dyDescent="0.25">
      <c r="D31" t="s">
        <v>34</v>
      </c>
    </row>
    <row r="32" spans="3:4" x14ac:dyDescent="0.25">
      <c r="D32" t="s">
        <v>35</v>
      </c>
    </row>
    <row r="33" spans="4:4" x14ac:dyDescent="0.25">
      <c r="D33" t="s">
        <v>36</v>
      </c>
    </row>
    <row r="34" spans="4:4" x14ac:dyDescent="0.25">
      <c r="D34" t="s">
        <v>37</v>
      </c>
    </row>
    <row r="35" spans="4:4" x14ac:dyDescent="0.25">
      <c r="D35" t="s">
        <v>38</v>
      </c>
    </row>
    <row r="36" spans="4:4" x14ac:dyDescent="0.25">
      <c r="D36" t="s">
        <v>39</v>
      </c>
    </row>
    <row r="37" spans="4:4" x14ac:dyDescent="0.25">
      <c r="D37" t="s">
        <v>40</v>
      </c>
    </row>
    <row r="38" spans="4:4" x14ac:dyDescent="0.25">
      <c r="D38" t="s">
        <v>41</v>
      </c>
    </row>
    <row r="39" spans="4:4" x14ac:dyDescent="0.25">
      <c r="D39" t="s">
        <v>42</v>
      </c>
    </row>
    <row r="40" spans="4:4" x14ac:dyDescent="0.25">
      <c r="D40" t="s">
        <v>43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DataBaseDeDonnes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Alexandre</dc:creator>
  <cp:lastModifiedBy>ETIENNE Alexandre</cp:lastModifiedBy>
  <dcterms:created xsi:type="dcterms:W3CDTF">2025-05-10T10:13:22Z</dcterms:created>
  <dcterms:modified xsi:type="dcterms:W3CDTF">2026-08-19T12:03:34Z</dcterms:modified>
</cp:coreProperties>
</file>